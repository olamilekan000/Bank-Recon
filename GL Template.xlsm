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bookViews>
    <workbookView xWindow="0" yWindow="0" windowWidth="20490" windowHeight="7335" activeTab="1"/>
  </bookViews>
  <sheets>
    <sheet name="TEMPLATE credit" sheetId="1" r:id="rId1"/>
    <sheet name="TEMPLATE debit" sheetId="2" r:id="rId2"/>
  </sheets>
  <calcPr calcId="152511"/>
</workbook>
</file>

<file path=xl/calcChain.xml><?xml version="1.0" encoding="utf-8"?>
<calcChain xmlns="http://schemas.openxmlformats.org/spreadsheetml/2006/main">
  <c r="M9" i="2" l="1"/>
  <c r="M8" i="2" l="1"/>
  <c r="N8" i="1" l="1"/>
  <c r="O9" i="2" l="1"/>
  <c r="L9" i="2"/>
  <c r="K9" i="2"/>
  <c r="J9" i="2"/>
  <c r="O8" i="2"/>
  <c r="N8" i="2"/>
  <c r="N9" i="2" s="1"/>
  <c r="L8" i="2"/>
  <c r="K8" i="2"/>
  <c r="J8" i="2"/>
  <c r="E9" i="2" l="1"/>
  <c r="E8" i="2"/>
  <c r="O9" i="1"/>
  <c r="O8" i="1"/>
  <c r="N9" i="1"/>
  <c r="K9" i="1" l="1"/>
  <c r="K8" i="1"/>
  <c r="L9" i="1"/>
  <c r="L8" i="1"/>
  <c r="J9" i="1"/>
  <c r="J8" i="1"/>
</calcChain>
</file>

<file path=xl/sharedStrings.xml><?xml version="1.0" encoding="utf-8"?>
<sst xmlns="http://schemas.openxmlformats.org/spreadsheetml/2006/main" count="32" uniqueCount="18">
  <si>
    <t>glt_ref</t>
  </si>
  <si>
    <t>glt_acct</t>
  </si>
  <si>
    <t>glt_proj</t>
  </si>
  <si>
    <t>glt_cc</t>
  </si>
  <si>
    <t>glt_entity</t>
  </si>
  <si>
    <t>glt_period</t>
  </si>
  <si>
    <t>glt_refdate</t>
  </si>
  <si>
    <t>glt_year</t>
  </si>
  <si>
    <t>glt_nar</t>
  </si>
  <si>
    <t>glt_amt</t>
  </si>
  <si>
    <t>glt_sign</t>
  </si>
  <si>
    <t>DATE</t>
  </si>
  <si>
    <t>DATE FORMAT SHOULD BE "DD-MM-YYYY"</t>
  </si>
  <si>
    <t>Amount</t>
  </si>
  <si>
    <t>LMN/PIN/17/02/01</t>
  </si>
  <si>
    <t>LMN/PIN/17/02/02</t>
  </si>
  <si>
    <t>BANK ACCOUNT:- Being Transfer Via PIN for February 2017 as per attached</t>
  </si>
  <si>
    <t xml:space="preserve"> A/R:-Being Transfer Via NIP for February 2017 as per attached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</si>
</sst>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name val="Arial"/>
      <family val="2"/>
    </font>
    <font>
      <sz val="12"/>
      <color theme="1"/>
      <name val="Century Gothic"/>
      <family val="2"/>
    </font>
    <font>
      <sz val="10"/>
      <name val="Arial"/>
      <family val="2"/>
    </font>
    <font>
      <b/>
      <sz val="12"/>
      <color theme="1"/>
      <name val="Century Gothic"/>
      <family val="2"/>
    </font>
    <font>
      <b/>
      <sz val="11"/>
      <color theme="1"/>
      <name val="Century Gothic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0"/>
    <xf numFmtId="0" fontId="4" fillId="0" borderId="0"/>
    <xf numFmtId="0" fontId="6" fillId="0" borderId="0"/>
  </cellStyleXfs>
  <cellXfs count="37">
    <xf numFmtId="0" fontId="0" fillId="0" borderId="0" xfId="0"/>
    <xf numFmtId="0" fontId="0" fillId="2" borderId="0" xfId="0" applyFill="1"/>
    <xf numFmtId="0" fontId="0" fillId="2" borderId="3" xfId="0" applyFont="1" applyFill="1" applyBorder="1" applyAlignment="1"/>
    <xf numFmtId="0" fontId="3" fillId="2" borderId="0" xfId="0" applyFont="1" applyFill="1"/>
    <xf numFmtId="0" fontId="0" fillId="2" borderId="0" xfId="0" applyFill="1" applyBorder="1"/>
    <xf numFmtId="0" fontId="3" fillId="2" borderId="0" xfId="0" applyFont="1" applyFill="1" applyBorder="1"/>
    <xf numFmtId="0" fontId="7" fillId="3" borderId="1" xfId="0" applyFont="1" applyFill="1" applyBorder="1" applyAlignment="1">
      <alignment horizontal="center" vertical="center"/>
    </xf>
    <xf numFmtId="14" fontId="7" fillId="3" borderId="2" xfId="0" applyNumberFormat="1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2" xfId="0" applyFont="1" applyFill="1" applyBorder="1"/>
    <xf numFmtId="0" fontId="3" fillId="3" borderId="4" xfId="0" applyFont="1" applyFill="1" applyBorder="1"/>
    <xf numFmtId="0" fontId="3" fillId="3" borderId="4" xfId="2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164" fontId="3" fillId="3" borderId="1" xfId="1" applyFont="1" applyFill="1" applyBorder="1"/>
    <xf numFmtId="0" fontId="3" fillId="3" borderId="1" xfId="0" applyFont="1" applyFill="1" applyBorder="1"/>
    <xf numFmtId="0" fontId="3" fillId="3" borderId="1" xfId="2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4" xfId="1" applyFont="1" applyFill="1" applyBorder="1"/>
    <xf numFmtId="0" fontId="8" fillId="4" borderId="1" xfId="0" applyFont="1" applyFill="1" applyBorder="1"/>
    <xf numFmtId="43" fontId="0" fillId="4" borderId="2" xfId="1" applyNumberFormat="1" applyFont="1" applyFill="1" applyBorder="1" applyAlignment="1">
      <alignment horizontal="left" vertical="top"/>
    </xf>
    <xf numFmtId="0" fontId="5" fillId="5" borderId="1" xfId="0" applyFont="1" applyFill="1" applyBorder="1"/>
    <xf numFmtId="0" fontId="5" fillId="5" borderId="2" xfId="0" applyFont="1" applyFill="1" applyBorder="1"/>
    <xf numFmtId="0" fontId="3" fillId="5" borderId="4" xfId="0" applyFont="1" applyFill="1" applyBorder="1"/>
    <xf numFmtId="0" fontId="3" fillId="5" borderId="4" xfId="2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wrapText="1"/>
    </xf>
    <xf numFmtId="164" fontId="3" fillId="5" borderId="1" xfId="1" applyFont="1" applyFill="1" applyBorder="1"/>
    <xf numFmtId="0" fontId="3" fillId="5" borderId="1" xfId="0" applyFont="1" applyFill="1" applyBorder="1"/>
    <xf numFmtId="0" fontId="3" fillId="5" borderId="1" xfId="2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wrapText="1"/>
    </xf>
    <xf numFmtId="164" fontId="3" fillId="5" borderId="4" xfId="1" applyFont="1" applyFill="1" applyBorder="1"/>
    <xf numFmtId="43" fontId="1" fillId="4" borderId="2" xfId="1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wrapText="1"/>
    </xf>
    <xf numFmtId="0" fontId="1" fillId="3" borderId="5" xfId="0" applyFont="1" applyFill="1" applyBorder="1" applyAlignment="1">
      <alignment wrapText="1"/>
    </xf>
  </cellXfs>
  <cellStyles count="5">
    <cellStyle name="Comma" xfId="1" builtinId="3"/>
    <cellStyle name="Normal" xfId="0" builtinId="0"/>
    <cellStyle name="Normal 2" xfId="3"/>
    <cellStyle name="Normal 2 2" xfId="4"/>
    <cellStyle name="Normal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10</xdr:row>
      <xdr:rowOff>19050</xdr:rowOff>
    </xdr:from>
    <xdr:to>
      <xdr:col>14</xdr:col>
      <xdr:colOff>447675</xdr:colOff>
      <xdr:row>13</xdr:row>
      <xdr:rowOff>180975</xdr:rowOff>
    </xdr:to>
    <xdr:sp macro="[0]!NIPCREDIT" textlink="">
      <xdr:nvSpPr>
        <xdr:cNvPr id="2" name="Rectangular Callout 1"/>
        <xdr:cNvSpPr/>
      </xdr:nvSpPr>
      <xdr:spPr>
        <a:xfrm>
          <a:off x="12563475" y="2733675"/>
          <a:ext cx="1123950" cy="733425"/>
        </a:xfrm>
        <a:prstGeom prst="wedge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b="1">
            <a:latin typeface="Batang" pitchFamily="18" charset="-127"/>
            <a:ea typeface="Batang" pitchFamily="18" charset="-127"/>
          </a:endParaRPr>
        </a:p>
        <a:p>
          <a:pPr algn="l"/>
          <a:r>
            <a:rPr lang="en-GB" sz="1100" b="1">
              <a:latin typeface="Batang" pitchFamily="18" charset="-127"/>
              <a:ea typeface="Batang" pitchFamily="18" charset="-127"/>
            </a:rPr>
            <a:t>  </a:t>
          </a:r>
          <a:r>
            <a:rPr lang="en-GB" sz="1100" b="1">
              <a:solidFill>
                <a:sysClr val="windowText" lastClr="000000"/>
              </a:solidFill>
              <a:latin typeface="Batang" pitchFamily="18" charset="-127"/>
              <a:ea typeface="Batang" pitchFamily="18" charset="-127"/>
            </a:rPr>
            <a:t>Click me!</a:t>
          </a:r>
        </a:p>
      </xdr:txBody>
    </xdr:sp>
    <xdr:clientData/>
  </xdr:twoCellAnchor>
  <xdr:twoCellAnchor>
    <xdr:from>
      <xdr:col>12</xdr:col>
      <xdr:colOff>3676650</xdr:colOff>
      <xdr:row>1</xdr:row>
      <xdr:rowOff>123824</xdr:rowOff>
    </xdr:from>
    <xdr:to>
      <xdr:col>14</xdr:col>
      <xdr:colOff>219075</xdr:colOff>
      <xdr:row>5</xdr:row>
      <xdr:rowOff>19049</xdr:rowOff>
    </xdr:to>
    <xdr:sp macro="[0]!saaaa" textlink="">
      <xdr:nvSpPr>
        <xdr:cNvPr id="3" name="Folded Corner 2"/>
        <xdr:cNvSpPr/>
      </xdr:nvSpPr>
      <xdr:spPr>
        <a:xfrm>
          <a:off x="12458700" y="628649"/>
          <a:ext cx="1000125" cy="676275"/>
        </a:xfrm>
        <a:prstGeom prst="foldedCorner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200">
            <a:latin typeface="Century Gothic" pitchFamily="34" charset="0"/>
          </a:endParaRPr>
        </a:p>
        <a:p>
          <a:pPr algn="l"/>
          <a:r>
            <a:rPr lang="en-GB" sz="1200">
              <a:latin typeface="Century Gothic" pitchFamily="34" charset="0"/>
            </a:rPr>
            <a:t>    </a:t>
          </a:r>
          <a:r>
            <a:rPr lang="en-GB" sz="1200" b="1">
              <a:solidFill>
                <a:sysClr val="windowText" lastClr="000000"/>
              </a:solidFill>
              <a:latin typeface="Century Gothic" pitchFamily="34" charset="0"/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10</xdr:row>
      <xdr:rowOff>19050</xdr:rowOff>
    </xdr:from>
    <xdr:to>
      <xdr:col>14</xdr:col>
      <xdr:colOff>447675</xdr:colOff>
      <xdr:row>13</xdr:row>
      <xdr:rowOff>180975</xdr:rowOff>
    </xdr:to>
    <xdr:sp macro="[0]!NIPDEBIT" textlink="">
      <xdr:nvSpPr>
        <xdr:cNvPr id="2" name="Rectangular Callout 1"/>
        <xdr:cNvSpPr/>
      </xdr:nvSpPr>
      <xdr:spPr>
        <a:xfrm>
          <a:off x="12725400" y="2743200"/>
          <a:ext cx="1200150" cy="742950"/>
        </a:xfrm>
        <a:prstGeom prst="wedge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b="1">
            <a:latin typeface="Batang" pitchFamily="18" charset="-127"/>
            <a:ea typeface="Batang" pitchFamily="18" charset="-127"/>
          </a:endParaRPr>
        </a:p>
        <a:p>
          <a:pPr algn="l"/>
          <a:r>
            <a:rPr lang="en-GB" sz="1100" b="1">
              <a:latin typeface="Batang" pitchFamily="18" charset="-127"/>
              <a:ea typeface="Batang" pitchFamily="18" charset="-127"/>
            </a:rPr>
            <a:t>  </a:t>
          </a:r>
          <a:r>
            <a:rPr lang="en-GB" sz="1100" b="1">
              <a:solidFill>
                <a:sysClr val="windowText" lastClr="000000"/>
              </a:solidFill>
              <a:latin typeface="Batang" pitchFamily="18" charset="-127"/>
              <a:ea typeface="Batang" pitchFamily="18" charset="-127"/>
            </a:rPr>
            <a:t>Click me!</a:t>
          </a:r>
        </a:p>
      </xdr:txBody>
    </xdr:sp>
    <xdr:clientData/>
  </xdr:twoCellAnchor>
  <xdr:twoCellAnchor>
    <xdr:from>
      <xdr:col>12</xdr:col>
      <xdr:colOff>3676650</xdr:colOff>
      <xdr:row>1</xdr:row>
      <xdr:rowOff>123824</xdr:rowOff>
    </xdr:from>
    <xdr:to>
      <xdr:col>14</xdr:col>
      <xdr:colOff>219075</xdr:colOff>
      <xdr:row>5</xdr:row>
      <xdr:rowOff>19049</xdr:rowOff>
    </xdr:to>
    <xdr:sp macro="[0]!saaaa" textlink="">
      <xdr:nvSpPr>
        <xdr:cNvPr id="3" name="Folded Corner 2"/>
        <xdr:cNvSpPr/>
      </xdr:nvSpPr>
      <xdr:spPr>
        <a:xfrm>
          <a:off x="12630150" y="628649"/>
          <a:ext cx="1066800" cy="676275"/>
        </a:xfrm>
        <a:prstGeom prst="foldedCorner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200">
            <a:latin typeface="Century Gothic" pitchFamily="34" charset="0"/>
          </a:endParaRPr>
        </a:p>
        <a:p>
          <a:pPr algn="l"/>
          <a:r>
            <a:rPr lang="en-GB" sz="1200">
              <a:latin typeface="Century Gothic" pitchFamily="34" charset="0"/>
            </a:rPr>
            <a:t>    </a:t>
          </a:r>
          <a:r>
            <a:rPr lang="en-GB" sz="1200" b="1">
              <a:solidFill>
                <a:sysClr val="windowText" lastClr="000000"/>
              </a:solidFill>
              <a:latin typeface="Century Gothic" pitchFamily="34" charset="0"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5"/>
  <sheetViews>
    <sheetView topLeftCell="D1" workbookViewId="0">
      <selection activeCell="G16" sqref="G16"/>
    </sheetView>
  </sheetViews>
  <sheetFormatPr defaultRowHeight="15" x14ac:dyDescent="0.25"/>
  <cols>
    <col min="4" max="4" width="4.7109375" customWidth="1"/>
    <col min="5" max="5" width="22.28515625" customWidth="1"/>
    <col min="6" max="6" width="13.7109375" bestFit="1" customWidth="1"/>
    <col min="7" max="7" width="10.85546875" bestFit="1" customWidth="1"/>
    <col min="8" max="8" width="8.28515625" bestFit="1" customWidth="1"/>
    <col min="9" max="9" width="12" bestFit="1" customWidth="1"/>
    <col min="10" max="10" width="12.5703125" bestFit="1" customWidth="1"/>
    <col min="11" max="11" width="14" bestFit="1" customWidth="1"/>
    <col min="12" max="12" width="10.28515625" bestFit="1" customWidth="1"/>
    <col min="13" max="13" width="53.28515625" customWidth="1"/>
    <col min="14" max="14" width="14.5703125" bestFit="1" customWidth="1"/>
    <col min="15" max="15" width="11" bestFit="1" customWidth="1"/>
  </cols>
  <sheetData>
    <row r="1" spans="1:19" ht="39.75" customHeight="1" thickBot="1" x14ac:dyDescent="0.3">
      <c r="A1" s="1"/>
      <c r="B1" s="1"/>
      <c r="C1" s="1"/>
      <c r="D1" s="1"/>
      <c r="E1" s="6" t="s">
        <v>11</v>
      </c>
      <c r="F1" s="7">
        <v>42794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"/>
      <c r="B2" s="1"/>
      <c r="C2" s="1"/>
      <c r="D2" s="1"/>
      <c r="E2" s="2" t="s">
        <v>12</v>
      </c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16.5" x14ac:dyDescent="0.3">
      <c r="A5" s="1"/>
      <c r="B5" s="1"/>
      <c r="C5" s="1"/>
      <c r="D5" s="1"/>
      <c r="E5" s="3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ht="15.75" thickBo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18" thickBot="1" x14ac:dyDescent="0.35">
      <c r="A7" s="1"/>
      <c r="B7" s="1"/>
      <c r="C7" s="1"/>
      <c r="D7" s="1"/>
      <c r="E7" s="8" t="s">
        <v>0</v>
      </c>
      <c r="F7" s="8" t="s">
        <v>1</v>
      </c>
      <c r="G7" s="8" t="s">
        <v>2</v>
      </c>
      <c r="H7" s="8" t="s">
        <v>3</v>
      </c>
      <c r="I7" s="8" t="s">
        <v>4</v>
      </c>
      <c r="J7" s="8" t="s">
        <v>5</v>
      </c>
      <c r="K7" s="8" t="s">
        <v>6</v>
      </c>
      <c r="L7" s="9" t="s">
        <v>7</v>
      </c>
      <c r="M7" s="8" t="s">
        <v>8</v>
      </c>
      <c r="N7" s="8" t="s">
        <v>9</v>
      </c>
      <c r="O7" s="8" t="s">
        <v>10</v>
      </c>
      <c r="P7" s="1"/>
      <c r="Q7" s="1"/>
      <c r="R7" s="1"/>
      <c r="S7" s="1"/>
    </row>
    <row r="8" spans="1:19" ht="33.75" thickBot="1" x14ac:dyDescent="0.35">
      <c r="A8" s="1"/>
      <c r="B8" s="1"/>
      <c r="C8" s="1"/>
      <c r="D8" s="1"/>
      <c r="E8" s="10" t="s">
        <v>14</v>
      </c>
      <c r="F8" s="16">
        <v>5987</v>
      </c>
      <c r="G8" s="10"/>
      <c r="H8" s="10"/>
      <c r="I8" s="11">
        <v>180</v>
      </c>
      <c r="J8" s="12" t="str">
        <f>TEXT($F$1,"MM")</f>
        <v>02</v>
      </c>
      <c r="K8" s="12" t="str">
        <f>TEXT($F$1,"DD/MM/YYYY")</f>
        <v>28/02/2017</v>
      </c>
      <c r="L8" s="13" t="str">
        <f>TEXT($F$1,"YYYY")</f>
        <v>2017</v>
      </c>
      <c r="M8" s="35" t="s">
        <v>17</v>
      </c>
      <c r="N8" s="14">
        <f>M11</f>
        <v>549600</v>
      </c>
      <c r="O8" s="15" t="str">
        <f>IF(M11&gt;0,"C","D")</f>
        <v>C</v>
      </c>
      <c r="P8" s="1"/>
      <c r="Q8" s="1"/>
      <c r="R8" s="1"/>
      <c r="S8" s="1"/>
    </row>
    <row r="9" spans="1:19" ht="33" customHeight="1" thickBot="1" x14ac:dyDescent="0.35">
      <c r="A9" s="1"/>
      <c r="B9" s="1"/>
      <c r="C9" s="1"/>
      <c r="D9" s="1"/>
      <c r="E9" s="10" t="s">
        <v>15</v>
      </c>
      <c r="F9" s="16">
        <v>798</v>
      </c>
      <c r="G9" s="15"/>
      <c r="H9" s="15"/>
      <c r="I9" s="16">
        <v>180</v>
      </c>
      <c r="J9" s="17" t="str">
        <f>TEXT($F$1,"MM")</f>
        <v>02</v>
      </c>
      <c r="K9" s="17" t="str">
        <f>TEXT($F$1,"DD/MM/YYYY")</f>
        <v>28/02/2017</v>
      </c>
      <c r="L9" s="17" t="str">
        <f>TEXT($F$1,"YYYY")</f>
        <v>2017</v>
      </c>
      <c r="M9" s="36" t="s">
        <v>16</v>
      </c>
      <c r="N9" s="18">
        <f>N8</f>
        <v>549600</v>
      </c>
      <c r="O9" s="15" t="str">
        <f>IF(M11&gt;0,"D","C")</f>
        <v>D</v>
      </c>
      <c r="P9" s="1"/>
      <c r="Q9" s="1"/>
      <c r="R9" s="1"/>
      <c r="S9" s="1"/>
    </row>
    <row r="10" spans="1:19" ht="15.75" thickBo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7.2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9" t="s">
        <v>13</v>
      </c>
      <c r="M11" s="34">
        <v>549600</v>
      </c>
      <c r="N11" s="1"/>
      <c r="O11" s="1"/>
      <c r="P11" s="1"/>
      <c r="Q11" s="1"/>
      <c r="R11" s="1"/>
      <c r="S11" s="1"/>
    </row>
    <row r="12" spans="1:1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"/>
      <c r="N14" s="1"/>
      <c r="O14" s="1"/>
      <c r="P14" s="1"/>
      <c r="Q14" s="1"/>
      <c r="R14" s="1"/>
      <c r="S14" s="1"/>
    </row>
    <row r="15" spans="1:19" ht="16.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1"/>
      <c r="O15" s="1"/>
      <c r="P15" s="1"/>
      <c r="Q15" s="1"/>
      <c r="R15" s="1"/>
      <c r="S15" s="1"/>
    </row>
    <row r="16" spans="1:1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"/>
      <c r="N16" s="1"/>
      <c r="O16" s="1"/>
      <c r="P16" s="1"/>
      <c r="Q16" s="1"/>
      <c r="R16" s="1"/>
      <c r="S16" s="1"/>
    </row>
    <row r="17" spans="1:1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5"/>
  <sheetViews>
    <sheetView tabSelected="1" workbookViewId="0">
      <selection activeCell="E14" sqref="E14"/>
    </sheetView>
  </sheetViews>
  <sheetFormatPr defaultRowHeight="15" x14ac:dyDescent="0.25"/>
  <cols>
    <col min="4" max="4" width="4.7109375" customWidth="1"/>
    <col min="5" max="5" width="22.28515625" customWidth="1"/>
    <col min="6" max="6" width="13.7109375" bestFit="1" customWidth="1"/>
    <col min="7" max="7" width="10.85546875" bestFit="1" customWidth="1"/>
    <col min="8" max="8" width="8.28515625" bestFit="1" customWidth="1"/>
    <col min="9" max="9" width="12" bestFit="1" customWidth="1"/>
    <col min="10" max="10" width="12.5703125" bestFit="1" customWidth="1"/>
    <col min="11" max="11" width="14" bestFit="1" customWidth="1"/>
    <col min="12" max="12" width="10.28515625" bestFit="1" customWidth="1"/>
    <col min="13" max="13" width="53.28515625" customWidth="1"/>
    <col min="14" max="14" width="15.7109375" bestFit="1" customWidth="1"/>
    <col min="15" max="15" width="11" bestFit="1" customWidth="1"/>
  </cols>
  <sheetData>
    <row r="1" spans="1:19" ht="39.75" customHeight="1" thickBot="1" x14ac:dyDescent="0.3">
      <c r="A1" s="1"/>
      <c r="B1" s="1"/>
      <c r="C1" s="1"/>
      <c r="D1" s="1"/>
      <c r="E1" s="6" t="s">
        <v>11</v>
      </c>
      <c r="F1" s="7">
        <v>42767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"/>
      <c r="B2" s="1"/>
      <c r="C2" s="1"/>
      <c r="D2" s="1"/>
      <c r="E2" s="2" t="s">
        <v>12</v>
      </c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16.5" x14ac:dyDescent="0.3">
      <c r="A5" s="1"/>
      <c r="B5" s="1"/>
      <c r="C5" s="1"/>
      <c r="D5" s="1"/>
      <c r="E5" s="3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ht="15.75" thickBo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18" thickBot="1" x14ac:dyDescent="0.35">
      <c r="A7" s="1"/>
      <c r="B7" s="1"/>
      <c r="C7" s="1"/>
      <c r="D7" s="1"/>
      <c r="E7" s="21" t="s">
        <v>0</v>
      </c>
      <c r="F7" s="21" t="s">
        <v>1</v>
      </c>
      <c r="G7" s="21" t="s">
        <v>2</v>
      </c>
      <c r="H7" s="21" t="s">
        <v>3</v>
      </c>
      <c r="I7" s="21" t="s">
        <v>4</v>
      </c>
      <c r="J7" s="21" t="s">
        <v>5</v>
      </c>
      <c r="K7" s="21" t="s">
        <v>6</v>
      </c>
      <c r="L7" s="22" t="s">
        <v>7</v>
      </c>
      <c r="M7" s="21" t="s">
        <v>8</v>
      </c>
      <c r="N7" s="21" t="s">
        <v>9</v>
      </c>
      <c r="O7" s="21" t="s">
        <v>10</v>
      </c>
      <c r="P7" s="1"/>
      <c r="Q7" s="1"/>
      <c r="R7" s="1"/>
      <c r="S7" s="1"/>
    </row>
    <row r="8" spans="1:19" ht="33.75" thickBot="1" x14ac:dyDescent="0.35">
      <c r="A8" s="1"/>
      <c r="B8" s="1"/>
      <c r="C8" s="1"/>
      <c r="D8" s="1"/>
      <c r="E8" s="23" t="str">
        <f>"LMN/PIN/"&amp;TEXT($K$8,"YY/MM/DD")</f>
        <v>LMN/PIN/17/01/02</v>
      </c>
      <c r="F8" s="25">
        <v>7981</v>
      </c>
      <c r="G8" s="23"/>
      <c r="H8" s="23"/>
      <c r="I8" s="24">
        <v>180</v>
      </c>
      <c r="J8" s="25" t="str">
        <f>TEXT($F$1,"MM")</f>
        <v>02</v>
      </c>
      <c r="K8" s="25" t="str">
        <f>TEXT($F$1,"DD/MM/YYYY")</f>
        <v>01/02/2017</v>
      </c>
      <c r="L8" s="26" t="str">
        <f>TEXT($F$1,"YYYY")</f>
        <v>2017</v>
      </c>
      <c r="M8" s="27" t="str">
        <f>" A/R PIN:-Being Transfer Via NIP for "&amp;TEXT($F$1,"MMMM YYYY")&amp;" as per attached"</f>
        <v xml:space="preserve"> A/R PIN:-Being Transfer Via NIP for February 2017 as per attached</v>
      </c>
      <c r="N8" s="28">
        <f>ABS(M11)</f>
        <v>222954.27</v>
      </c>
      <c r="O8" s="29" t="str">
        <f>IF(M11&gt;0,"C","D")</f>
        <v>D</v>
      </c>
      <c r="P8" s="1"/>
      <c r="Q8" s="1"/>
      <c r="R8" s="1"/>
      <c r="S8" s="1"/>
    </row>
    <row r="9" spans="1:19" ht="33" customHeight="1" thickBot="1" x14ac:dyDescent="0.35">
      <c r="A9" s="1"/>
      <c r="B9" s="1"/>
      <c r="C9" s="1"/>
      <c r="D9" s="1"/>
      <c r="E9" s="23" t="str">
        <f>"LMN/PIN/"&amp;TEXT($K$8,"YY/MM/DD")</f>
        <v>LMN/PIN/17/01/02</v>
      </c>
      <c r="F9" s="30">
        <v>598</v>
      </c>
      <c r="G9" s="29"/>
      <c r="H9" s="29"/>
      <c r="I9" s="24">
        <v>180</v>
      </c>
      <c r="J9" s="31" t="str">
        <f>TEXT($F$1,"MM")</f>
        <v>02</v>
      </c>
      <c r="K9" s="31" t="str">
        <f>TEXT($F$1,"DD/MM/YYYY")</f>
        <v>01/02/2017</v>
      </c>
      <c r="L9" s="31" t="str">
        <f>TEXT($F$1,"YYYY")</f>
        <v>2017</v>
      </c>
      <c r="M9" s="32" t="str">
        <f>"BANK ACCOUNT:- Being Transfer Via PIN for "&amp;TEXT($F$1,"MMMM YYYY")&amp;" as per attached"</f>
        <v>BANK ACCOUNT:- Being Transfer Via PIN for February 2017 as per attached</v>
      </c>
      <c r="N9" s="33">
        <f>N8</f>
        <v>222954.27</v>
      </c>
      <c r="O9" s="29" t="str">
        <f>IF(M11&gt;0,"D","C")</f>
        <v>C</v>
      </c>
      <c r="P9" s="1"/>
      <c r="Q9" s="1"/>
      <c r="R9" s="1"/>
      <c r="S9" s="1"/>
    </row>
    <row r="10" spans="1:19" ht="15.75" thickBo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9" t="s">
        <v>13</v>
      </c>
      <c r="M11" s="20">
        <v>-222954.27</v>
      </c>
      <c r="N11" s="1"/>
      <c r="O11" s="1"/>
      <c r="P11" s="1"/>
      <c r="Q11" s="1"/>
      <c r="R11" s="1"/>
      <c r="S11" s="1"/>
    </row>
    <row r="12" spans="1:1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"/>
      <c r="N14" s="1"/>
      <c r="O14" s="1"/>
      <c r="P14" s="1"/>
      <c r="Q14" s="1"/>
      <c r="R14" s="1"/>
      <c r="S14" s="1"/>
    </row>
    <row r="15" spans="1:19" ht="16.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"/>
      <c r="N15" s="1"/>
      <c r="O15" s="1"/>
      <c r="P15" s="1"/>
      <c r="Q15" s="1"/>
      <c r="R15" s="1"/>
      <c r="S15" s="1"/>
    </row>
    <row r="16" spans="1:1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"/>
      <c r="N16" s="1"/>
      <c r="O16" s="1"/>
      <c r="P16" s="1"/>
      <c r="Q16" s="1"/>
      <c r="R16" s="1"/>
      <c r="S16" s="1"/>
    </row>
    <row r="17" spans="1:1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 credit</vt:lpstr>
      <vt:lpstr>TEMPLATE debit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O. Odukoya</dc:creator>
  <cp:lastModifiedBy>ASUS</cp:lastModifiedBy>
  <dcterms:created xsi:type="dcterms:W3CDTF">2017-02-16T15:47:18Z</dcterms:created>
  <dcterms:modified xsi:type="dcterms:W3CDTF">2018-01-08T16:23:01Z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ad48b93f-da09-49d4-92c9-c2c9a6f61121</vt:lpwstr>
  </property>
</Properties>
</file>